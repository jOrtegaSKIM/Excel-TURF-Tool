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seOrtega\Documents\Github\Excel-TURF-Tool\"/>
    </mc:Choice>
  </mc:AlternateContent>
  <xr:revisionPtr revIDLastSave="0" documentId="13_ncr:1_{825B0F48-D2C8-4BFA-A478-71A48DF90EBF}" xr6:coauthVersionLast="47" xr6:coauthVersionMax="47" xr10:uidLastSave="{00000000-0000-0000-0000-000000000000}"/>
  <bookViews>
    <workbookView xWindow="-108" yWindow="-108" windowWidth="23256" windowHeight="12576" xr2:uid="{40F19F0D-3156-4561-BBB1-CE11E833F259}"/>
  </bookViews>
  <sheets>
    <sheet name="Unspoken" sheetId="8" r:id="rId1"/>
    <sheet name="Output" sheetId="9" r:id="rId2"/>
    <sheet name="Main" sheetId="5" state="hidden" r:id="rId3"/>
    <sheet name="MaxDiff" sheetId="6" state="hidden" r:id="rId4"/>
    <sheet name="CBC" sheetId="7" state="hidden" r:id="rId5"/>
    <sheet name="Utilities" sheetId="4" r:id="rId6"/>
  </sheets>
  <functionGroups builtInGroupCount="19"/>
  <definedNames>
    <definedName name="add_none">Main!$D$6</definedName>
    <definedName name="cbc_calc">CBC!$D$4</definedName>
    <definedName name="cbc_kpi">CBC!$D$6</definedName>
    <definedName name="inputs">Unspoken!$G$2:$K$4</definedName>
    <definedName name="maxdiff_calc" localSheetId="0">Unspoken!$D$6</definedName>
    <definedName name="maxdiff_calc">MaxDiff!$D$4</definedName>
    <definedName name="maxdiff_threshold" localSheetId="0">Unspoken!$D$7</definedName>
    <definedName name="maxdiff_threshold">MaxDiff!$D$5</definedName>
    <definedName name="methodology">Main!$B$3</definedName>
    <definedName name="num_prods">Main!$D$5</definedName>
    <definedName name="unspoken_calc">Unspoken!$D$6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5" l="1"/>
</calcChain>
</file>

<file path=xl/sharedStrings.xml><?xml version="1.0" encoding="utf-8"?>
<sst xmlns="http://schemas.openxmlformats.org/spreadsheetml/2006/main" count="93" uniqueCount="31">
  <si>
    <t>Methodology</t>
  </si>
  <si>
    <t>Number of prods</t>
  </si>
  <si>
    <t>Add none option</t>
  </si>
  <si>
    <t>SoP</t>
  </si>
  <si>
    <t>none</t>
  </si>
  <si>
    <t>Threshold</t>
  </si>
  <si>
    <t>Item</t>
  </si>
  <si>
    <t>Owner</t>
  </si>
  <si>
    <t>Fixed</t>
  </si>
  <si>
    <t>Weight</t>
  </si>
  <si>
    <t>Bucket</t>
  </si>
  <si>
    <t>TURF for MaxDiff</t>
  </si>
  <si>
    <t>Calculation Method</t>
  </si>
  <si>
    <t>Size</t>
  </si>
  <si>
    <t>Price</t>
  </si>
  <si>
    <t>Distribution</t>
  </si>
  <si>
    <t>TURF for CBC</t>
  </si>
  <si>
    <t>KPI to Optimize</t>
  </si>
  <si>
    <t>Market Volume/Units</t>
  </si>
  <si>
    <t>Value Share</t>
  </si>
  <si>
    <t>Client</t>
  </si>
  <si>
    <t>Competitor</t>
  </si>
  <si>
    <t>No</t>
  </si>
  <si>
    <t>Yes</t>
  </si>
  <si>
    <t>SoP Redistributed</t>
  </si>
  <si>
    <t>"C:\Program Files\R\R-4.4.1\bin\Rscript.exe" C:\Users\JoseOrtega\Documents\Github\Excel-TURF-Tool\system\TURF_linking.R C:\Users\JoseOrtega\Documents\Github\Excel-TURF-Tool\system 3</t>
  </si>
  <si>
    <t>Unspoken</t>
  </si>
  <si>
    <t>TURF_for_Unspoken</t>
  </si>
  <si>
    <t>Calculation_Method:</t>
  </si>
  <si>
    <t>Threshold:</t>
  </si>
  <si>
    <t>Number_of_Items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</si>
</sst>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Consolas"/>
      <family val="3"/>
    </font>
    <font>
      <sz val="12"/>
      <color theme="0"/>
      <name val="Consolas"/>
      <family val="3"/>
    </font>
    <font>
      <sz val="12"/>
      <color theme="1"/>
      <name val="Consolas"/>
      <family val="3"/>
    </font>
    <font>
      <b/>
      <sz val="20"/>
      <color rgb="FFFF9000"/>
      <name val="Consolas"/>
      <family val="3"/>
    </font>
    <font>
      <b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5" xfId="0" applyFill="1" applyBorder="1"/>
    <xf numFmtId="0" fontId="0" fillId="3" borderId="5" xfId="0" applyFill="1" applyBorder="1" applyAlignment="1">
      <alignment horizontal="center"/>
    </xf>
    <xf numFmtId="0" fontId="0" fillId="4" borderId="0" xfId="0" applyFill="1"/>
    <xf numFmtId="0" fontId="6" fillId="5" borderId="0" xfId="0" applyFont="1" applyFill="1" applyAlignment="1">
      <alignment horizontal="center" vertical="center"/>
    </xf>
    <xf numFmtId="11" fontId="0" fillId="0" borderId="0" xfId="0" applyNumberFormat="1"/>
    <xf numFmtId="0" fontId="8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/>
    </xf>
    <xf numFmtId="0" fontId="6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/>
    </xf>
    <xf numFmtId="0" fontId="5" fillId="4" borderId="0" xfId="0" applyFont="1" applyFill="1" applyAlignment="1">
      <alignment horizontal="left" vertical="center"/>
    </xf>
    <xf numFmtId="0" fontId="2" fillId="2" borderId="4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16">
    <dxf>
      <font>
        <color theme="1"/>
      </font>
    </dxf>
    <dxf>
      <font>
        <color theme="0" tint="-0.34998626667073579"/>
      </font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1"/>
      </font>
    </dxf>
    <dxf>
      <font>
        <color theme="0" tint="-0.34998626667073579"/>
      </font>
    </dxf>
    <dxf>
      <font>
        <color theme="1"/>
      </font>
    </dxf>
    <dxf>
      <font>
        <color theme="0" tint="-0.34998626667073579"/>
      </font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/>
      </font>
    </dxf>
    <dxf>
      <font>
        <color theme="1"/>
      </font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9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8</xdr:row>
      <xdr:rowOff>114300</xdr:rowOff>
    </xdr:from>
    <xdr:to>
      <xdr:col>3</xdr:col>
      <xdr:colOff>449580</xdr:colOff>
      <xdr:row>10</xdr:row>
      <xdr:rowOff>144780</xdr:rowOff>
    </xdr:to>
    <xdr:sp macro="[0]!SetupTUR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8E66209-69A6-731B-7811-6C8D274313C3}"/>
            </a:ext>
          </a:extLst>
        </xdr:cNvPr>
        <xdr:cNvSpPr/>
      </xdr:nvSpPr>
      <xdr:spPr>
        <a:xfrm>
          <a:off x="838200" y="2034540"/>
          <a:ext cx="1897380" cy="48768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Consolas" panose="020B0609020204030204" pitchFamily="49" charset="0"/>
            </a:rPr>
            <a:t>01_Setup_TURF</a:t>
          </a:r>
        </a:p>
      </xdr:txBody>
    </xdr:sp>
    <xdr:clientData/>
  </xdr:twoCellAnchor>
  <xdr:twoCellAnchor>
    <xdr:from>
      <xdr:col>1</xdr:col>
      <xdr:colOff>373380</xdr:colOff>
      <xdr:row>11</xdr:row>
      <xdr:rowOff>53340</xdr:rowOff>
    </xdr:from>
    <xdr:to>
      <xdr:col>3</xdr:col>
      <xdr:colOff>441960</xdr:colOff>
      <xdr:row>13</xdr:row>
      <xdr:rowOff>83820</xdr:rowOff>
    </xdr:to>
    <xdr:sp macro="[0]!ImportUtil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A6E1EB0-2EE8-41DD-9E2D-0139AA9C46AE}"/>
            </a:ext>
          </a:extLst>
        </xdr:cNvPr>
        <xdr:cNvSpPr/>
      </xdr:nvSpPr>
      <xdr:spPr>
        <a:xfrm>
          <a:off x="830580" y="2659380"/>
          <a:ext cx="1897380" cy="48768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Consolas" panose="020B0609020204030204" pitchFamily="49" charset="0"/>
            </a:rPr>
            <a:t>02_Import_Utils</a:t>
          </a:r>
        </a:p>
      </xdr:txBody>
    </xdr:sp>
    <xdr:clientData/>
  </xdr:twoCellAnchor>
  <xdr:twoCellAnchor>
    <xdr:from>
      <xdr:col>1</xdr:col>
      <xdr:colOff>373380</xdr:colOff>
      <xdr:row>13</xdr:row>
      <xdr:rowOff>213360</xdr:rowOff>
    </xdr:from>
    <xdr:to>
      <xdr:col>3</xdr:col>
      <xdr:colOff>441960</xdr:colOff>
      <xdr:row>16</xdr:row>
      <xdr:rowOff>15240</xdr:rowOff>
    </xdr:to>
    <xdr:sp macro="[0]!RunTURF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A36133A9-ADA5-495E-B1E0-8DDF4FF8DFCE}"/>
            </a:ext>
          </a:extLst>
        </xdr:cNvPr>
        <xdr:cNvSpPr/>
      </xdr:nvSpPr>
      <xdr:spPr>
        <a:xfrm>
          <a:off x="830580" y="3276600"/>
          <a:ext cx="1897380" cy="48768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Consolas" panose="020B0609020204030204" pitchFamily="49" charset="0"/>
            </a:rPr>
            <a:t>03_Run_TURF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6</xdr:row>
          <xdr:rowOff>167640</xdr:rowOff>
        </xdr:from>
        <xdr:to>
          <xdr:col>3</xdr:col>
          <xdr:colOff>601980</xdr:colOff>
          <xdr:row>8</xdr:row>
          <xdr:rowOff>91440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Setup TURF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6</xdr:row>
          <xdr:rowOff>30480</xdr:rowOff>
        </xdr:from>
        <xdr:to>
          <xdr:col>3</xdr:col>
          <xdr:colOff>678180</xdr:colOff>
          <xdr:row>7</xdr:row>
          <xdr:rowOff>137160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Utilities (*.csv)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0</xdr:rowOff>
        </xdr:from>
        <xdr:to>
          <xdr:col>3</xdr:col>
          <xdr:colOff>807720</xdr:colOff>
          <xdr:row>9</xdr:row>
          <xdr:rowOff>106680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Utilities (*.csv)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38100</xdr:rowOff>
        </xdr:from>
        <xdr:to>
          <xdr:col>3</xdr:col>
          <xdr:colOff>807720</xdr:colOff>
          <xdr:row>11</xdr:row>
          <xdr:rowOff>144780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TURF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8B5C1-848C-4A5B-84F5-99040219D357}">
  <sheetPr codeName="Sheet2"/>
  <dimension ref="A1:K27"/>
  <sheetViews>
    <sheetView tabSelected="1" zoomScaleNormal="100" workbookViewId="0">
      <selection activeCell="E7" sqref="E7"/>
    </sheetView>
  </sheetViews>
  <sheetFormatPr defaultRowHeight="14.4" x14ac:dyDescent="0.3"/>
  <cols>
    <col min="1" max="1" width="6.6640625" style="5" customWidth="1"/>
    <col min="2" max="4" width="13.33203125" style="5" customWidth="1"/>
    <col min="5" max="5" width="6.6640625" style="5" customWidth="1"/>
    <col min="7" max="11" width="13.33203125" customWidth="1"/>
  </cols>
  <sheetData>
    <row r="1" spans="2:11" ht="18" customHeight="1" x14ac:dyDescent="0.3"/>
    <row r="2" spans="2:11" ht="25.2" x14ac:dyDescent="0.45">
      <c r="B2" s="13" t="s">
        <v>27</v>
      </c>
      <c r="C2" s="13"/>
      <c r="D2" s="13"/>
      <c r="G2" s="8" t="s">
        <v>6</v>
      </c>
      <c r="H2" s="8" t="s">
        <v>7</v>
      </c>
      <c r="I2" s="8" t="s">
        <v>8</v>
      </c>
      <c r="J2" s="8" t="s">
        <v>9</v>
      </c>
      <c r="K2" s="8" t="s">
        <v>10</v>
      </c>
    </row>
    <row r="3" spans="2:11" ht="18" customHeight="1" x14ac:dyDescent="0.3">
      <c r="G3" s="10">
        <v>1</v>
      </c>
      <c r="H3" s="10"/>
      <c r="I3" s="10"/>
      <c r="J3" s="10">
        <v>1</v>
      </c>
      <c r="K3" s="9"/>
    </row>
    <row r="4" spans="2:11" ht="18" customHeight="1" x14ac:dyDescent="0.3">
      <c r="B4" s="16" t="s">
        <v>30</v>
      </c>
      <c r="C4" s="16"/>
      <c r="D4" s="6">
        <v>1</v>
      </c>
      <c r="G4" s="10" t="s">
        <v>4</v>
      </c>
      <c r="H4" s="10"/>
      <c r="I4" s="10"/>
      <c r="J4" s="10">
        <v>1</v>
      </c>
      <c r="K4" s="9"/>
    </row>
    <row r="5" spans="2:11" ht="18" customHeight="1" x14ac:dyDescent="0.3">
      <c r="G5" s="10"/>
      <c r="H5" s="10"/>
      <c r="I5" s="10"/>
      <c r="J5" s="10"/>
      <c r="K5" s="9"/>
    </row>
    <row r="6" spans="2:11" ht="18" customHeight="1" x14ac:dyDescent="0.3">
      <c r="B6" s="14" t="s">
        <v>28</v>
      </c>
      <c r="C6" s="14"/>
      <c r="D6" s="12" t="s">
        <v>3</v>
      </c>
      <c r="G6" s="10"/>
      <c r="H6" s="10"/>
      <c r="I6" s="10"/>
      <c r="J6" s="10"/>
      <c r="K6" s="9"/>
    </row>
    <row r="7" spans="2:11" ht="18" customHeight="1" x14ac:dyDescent="0.3">
      <c r="B7" s="15" t="s">
        <v>29</v>
      </c>
      <c r="C7" s="15"/>
      <c r="D7" s="6">
        <v>0.5</v>
      </c>
      <c r="G7" s="10"/>
      <c r="H7" s="10"/>
      <c r="I7" s="10"/>
      <c r="J7" s="10"/>
      <c r="K7" s="9"/>
    </row>
    <row r="8" spans="2:11" ht="18" customHeight="1" x14ac:dyDescent="0.3">
      <c r="G8" s="10"/>
      <c r="H8" s="10"/>
      <c r="I8" s="10"/>
      <c r="J8" s="10"/>
      <c r="K8" s="9"/>
    </row>
    <row r="9" spans="2:11" ht="18" customHeight="1" x14ac:dyDescent="0.3">
      <c r="G9" s="10"/>
      <c r="H9" s="10"/>
      <c r="I9" s="10"/>
      <c r="J9" s="10"/>
      <c r="K9" s="9"/>
    </row>
    <row r="10" spans="2:11" ht="18" customHeight="1" x14ac:dyDescent="0.3">
      <c r="G10" s="10"/>
      <c r="H10" s="10"/>
      <c r="I10" s="10"/>
      <c r="J10" s="10"/>
      <c r="K10" s="9"/>
    </row>
    <row r="11" spans="2:11" ht="18" customHeight="1" x14ac:dyDescent="0.3">
      <c r="G11" s="10"/>
      <c r="H11" s="10"/>
      <c r="I11" s="10"/>
      <c r="J11" s="10"/>
      <c r="K11" s="9"/>
    </row>
    <row r="12" spans="2:11" ht="18" customHeight="1" x14ac:dyDescent="0.3">
      <c r="G12" s="10"/>
      <c r="H12" s="10"/>
      <c r="I12" s="10"/>
      <c r="J12" s="10"/>
      <c r="K12" s="9"/>
    </row>
    <row r="13" spans="2:11" ht="18" customHeight="1" x14ac:dyDescent="0.3">
      <c r="G13" s="10"/>
      <c r="H13" s="10"/>
      <c r="I13" s="10"/>
      <c r="J13" s="10"/>
      <c r="K13" s="9"/>
    </row>
    <row r="14" spans="2:11" ht="18" customHeight="1" x14ac:dyDescent="0.3">
      <c r="G14" s="10"/>
      <c r="H14" s="10"/>
      <c r="I14" s="10"/>
      <c r="J14" s="10"/>
      <c r="K14" s="9"/>
    </row>
    <row r="15" spans="2:11" ht="18" customHeight="1" x14ac:dyDescent="0.3">
      <c r="G15" s="10"/>
      <c r="H15" s="10"/>
      <c r="I15" s="10"/>
      <c r="J15" s="10"/>
      <c r="K15" s="9"/>
    </row>
    <row r="16" spans="2:11" ht="18" customHeight="1" x14ac:dyDescent="0.3">
      <c r="G16" s="10"/>
      <c r="H16" s="10"/>
      <c r="I16" s="10"/>
      <c r="J16" s="10"/>
      <c r="K16" s="9"/>
    </row>
    <row r="17" spans="7:11" ht="18" customHeight="1" x14ac:dyDescent="0.3">
      <c r="G17" s="10"/>
      <c r="H17" s="10"/>
      <c r="I17" s="10"/>
      <c r="J17" s="10"/>
      <c r="K17" s="9"/>
    </row>
    <row r="18" spans="7:11" ht="18" customHeight="1" x14ac:dyDescent="0.3">
      <c r="G18" s="10"/>
      <c r="H18" s="10"/>
      <c r="I18" s="10"/>
      <c r="J18" s="10"/>
      <c r="K18" s="9"/>
    </row>
    <row r="19" spans="7:11" ht="18" customHeight="1" x14ac:dyDescent="0.3">
      <c r="G19" s="10"/>
      <c r="H19" s="10"/>
      <c r="I19" s="10"/>
      <c r="J19" s="10"/>
      <c r="K19" s="9"/>
    </row>
    <row r="20" spans="7:11" ht="18" customHeight="1" x14ac:dyDescent="0.3">
      <c r="G20" s="10"/>
      <c r="H20" s="10"/>
      <c r="I20" s="10"/>
      <c r="J20" s="10"/>
      <c r="K20" s="9"/>
    </row>
    <row r="21" spans="7:11" ht="18" customHeight="1" x14ac:dyDescent="0.3">
      <c r="G21" s="10"/>
      <c r="H21" s="10"/>
      <c r="I21" s="10"/>
      <c r="J21" s="10"/>
      <c r="K21" s="9"/>
    </row>
    <row r="22" spans="7:11" ht="18" customHeight="1" x14ac:dyDescent="0.3">
      <c r="G22" s="10"/>
      <c r="H22" s="11"/>
      <c r="I22" s="11"/>
      <c r="J22" s="10"/>
      <c r="K22" s="9"/>
    </row>
    <row r="23" spans="7:11" x14ac:dyDescent="0.3">
      <c r="G23" s="2"/>
      <c r="J23" s="2"/>
    </row>
    <row r="24" spans="7:11" x14ac:dyDescent="0.3">
      <c r="G24" s="2"/>
      <c r="J24" s="2"/>
    </row>
    <row r="25" spans="7:11" x14ac:dyDescent="0.3">
      <c r="G25" s="2"/>
      <c r="J25" s="2"/>
    </row>
    <row r="26" spans="7:11" x14ac:dyDescent="0.3">
      <c r="G26" s="2"/>
      <c r="J26" s="2"/>
    </row>
    <row r="27" spans="7:11" x14ac:dyDescent="0.3">
      <c r="G27" s="2"/>
      <c r="J27" s="2"/>
    </row>
  </sheetData>
  <mergeCells count="4">
    <mergeCell ref="B2:D2"/>
    <mergeCell ref="B6:C6"/>
    <mergeCell ref="B7:C7"/>
    <mergeCell ref="B4:C4"/>
  </mergeCells>
  <conditionalFormatting sqref="D7">
    <cfRule type="expression" dxfId="15" priority="5">
      <formula>IF($D$6&lt;&gt;"Threshold",TRUE,FALSE)</formula>
    </cfRule>
    <cfRule type="expression" dxfId="14" priority="6">
      <formula>IF($D$6="Threshold",TRUE,FALSE)</formula>
    </cfRule>
  </conditionalFormatting>
  <conditionalFormatting sqref="B7">
    <cfRule type="expression" dxfId="13" priority="3">
      <formula>IF($D$6&lt;&gt;"Threshold",TRUE,FALSE)</formula>
    </cfRule>
    <cfRule type="expression" dxfId="12" priority="4">
      <formula>IF($D$6="Threshold",TRUE,FALSE)</formula>
    </cfRule>
  </conditionalFormatting>
  <dataValidations count="2">
    <dataValidation type="list" allowBlank="1" showInputMessage="1" showErrorMessage="1" sqref="D6" xr:uid="{AFEF5DB3-9262-4DFC-810C-BA2AE6A1323B}">
      <formula1>"SoP,First Choice,Threshold"</formula1>
    </dataValidation>
    <dataValidation type="custom" allowBlank="1" showInputMessage="1" showErrorMessage="1" sqref="D4" xr:uid="{EE725D49-C5E3-4F4B-9BBD-FD1D911CE2DF}">
      <formula1>ISNUMBER(D4)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EDE50-EEFD-4563-91C8-D9E2199D3D6B}">
  <sheetPr codeName="Sheet6"/>
  <dimension ref="A1"/>
  <sheetViews>
    <sheetView workbookViewId="0">
      <selection sqref="A1:F1048576"/>
    </sheetView>
  </sheetViews>
  <sheetFormatPr defaultRowHeight="14.4" x14ac:dyDescent="0.3"/>
  <cols>
    <col min="1" max="1" width="19" bestFit="1" customWidth="1"/>
    <col min="2" max="6" width="9.88671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9702-B8E9-4040-860A-4F9A2A09B074}">
  <sheetPr codeName="Sheet4"/>
  <dimension ref="A1:E10"/>
  <sheetViews>
    <sheetView zoomScaleNormal="100" workbookViewId="0">
      <selection activeCell="D6" sqref="D6"/>
    </sheetView>
  </sheetViews>
  <sheetFormatPr defaultRowHeight="14.4" x14ac:dyDescent="0.3"/>
  <sheetData>
    <row r="1" spans="1:5" x14ac:dyDescent="0.3">
      <c r="A1" s="1"/>
      <c r="B1" s="1"/>
      <c r="C1" s="1"/>
      <c r="D1" s="1"/>
      <c r="E1" s="1"/>
    </row>
    <row r="2" spans="1:5" ht="15" thickBot="1" x14ac:dyDescent="0.35">
      <c r="A2" s="1"/>
      <c r="B2" s="17" t="s">
        <v>0</v>
      </c>
      <c r="C2" s="17"/>
      <c r="D2" s="17"/>
      <c r="E2" s="1"/>
    </row>
    <row r="3" spans="1:5" ht="15" thickBot="1" x14ac:dyDescent="0.35">
      <c r="A3" s="1"/>
      <c r="B3" s="18" t="s">
        <v>26</v>
      </c>
      <c r="C3" s="19"/>
      <c r="D3" s="20"/>
      <c r="E3" s="1"/>
    </row>
    <row r="4" spans="1:5" x14ac:dyDescent="0.3">
      <c r="A4" s="1"/>
      <c r="B4" s="1"/>
      <c r="C4" s="1"/>
      <c r="D4" s="1"/>
      <c r="E4" s="1"/>
    </row>
    <row r="5" spans="1:5" x14ac:dyDescent="0.3">
      <c r="A5" s="1"/>
      <c r="B5" s="21" t="s">
        <v>1</v>
      </c>
      <c r="C5" s="21"/>
      <c r="D5" s="4">
        <f>Unspoken!$D$4</f>
        <v>1</v>
      </c>
      <c r="E5" s="1"/>
    </row>
    <row r="6" spans="1:5" x14ac:dyDescent="0.3">
      <c r="A6" s="1"/>
      <c r="B6" s="21" t="s">
        <v>2</v>
      </c>
      <c r="C6" s="21"/>
      <c r="D6" s="3" t="b">
        <v>1</v>
      </c>
      <c r="E6" s="1"/>
    </row>
    <row r="7" spans="1:5" x14ac:dyDescent="0.3">
      <c r="A7" s="1"/>
      <c r="B7" s="1"/>
      <c r="C7" s="1"/>
      <c r="D7" s="1"/>
      <c r="E7" s="1"/>
    </row>
    <row r="8" spans="1:5" x14ac:dyDescent="0.3">
      <c r="A8" s="1"/>
      <c r="B8" s="1"/>
      <c r="C8" s="1"/>
      <c r="D8" s="1"/>
      <c r="E8" s="1"/>
    </row>
    <row r="9" spans="1:5" x14ac:dyDescent="0.3">
      <c r="A9" s="1"/>
      <c r="B9" s="1"/>
      <c r="C9" s="1"/>
      <c r="D9" s="1"/>
      <c r="E9" s="1"/>
    </row>
    <row r="10" spans="1:5" x14ac:dyDescent="0.3">
      <c r="A10" s="1"/>
      <c r="B10" s="1"/>
      <c r="C10" s="1"/>
      <c r="D10" s="1"/>
      <c r="E10" s="1"/>
    </row>
  </sheetData>
  <mergeCells count="4">
    <mergeCell ref="B2:D2"/>
    <mergeCell ref="B3:D3"/>
    <mergeCell ref="B5:C5"/>
    <mergeCell ref="B6:C6"/>
  </mergeCells>
  <dataValidations count="3">
    <dataValidation type="list" allowBlank="1" showInputMessage="1" showErrorMessage="1" sqref="D6" xr:uid="{249E6DF7-DA54-44CF-BF41-B8303771B362}">
      <formula1>"TRUE,FALSE"</formula1>
    </dataValidation>
    <dataValidation type="custom" allowBlank="1" showInputMessage="1" showErrorMessage="1" sqref="D5" xr:uid="{61037B23-B71C-4F70-856F-7761489A6C5B}">
      <formula1>ISNUMBER(D5)</formula1>
    </dataValidation>
    <dataValidation type="list" allowBlank="1" showInputMessage="1" showErrorMessage="1" sqref="B3:D3" xr:uid="{0C1B7736-6A9E-4AB1-BD23-45C5601186AB}">
      <formula1>"MaxDiff,Anchored MaxDiff,Unspoken,CBC"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tupTURF">
                <anchor moveWithCells="1" sizeWithCells="1">
                  <from>
                    <xdr:col>1</xdr:col>
                    <xdr:colOff>22860</xdr:colOff>
                    <xdr:row>6</xdr:row>
                    <xdr:rowOff>167640</xdr:rowOff>
                  </from>
                  <to>
                    <xdr:col>3</xdr:col>
                    <xdr:colOff>601980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E3552-B884-4633-9D32-813C4F9D20E6}">
  <sheetPr codeName="Sheet1"/>
  <dimension ref="A2:K18"/>
  <sheetViews>
    <sheetView workbookViewId="0">
      <selection activeCell="H4" sqref="H4"/>
    </sheetView>
  </sheetViews>
  <sheetFormatPr defaultRowHeight="14.4" x14ac:dyDescent="0.3"/>
  <cols>
    <col min="1" max="1" width="8.88671875" style="1" customWidth="1"/>
    <col min="2" max="3" width="8.88671875" style="1"/>
    <col min="4" max="4" width="11.109375" style="1" customWidth="1"/>
    <col min="5" max="5" width="8.88671875" style="1"/>
  </cols>
  <sheetData>
    <row r="2" spans="2:11" x14ac:dyDescent="0.3">
      <c r="B2" s="22" t="s">
        <v>11</v>
      </c>
      <c r="C2" s="22"/>
      <c r="D2" s="22"/>
      <c r="G2" t="s">
        <v>6</v>
      </c>
      <c r="H2" t="s">
        <v>7</v>
      </c>
      <c r="I2" t="s">
        <v>8</v>
      </c>
      <c r="J2" t="s">
        <v>9</v>
      </c>
      <c r="K2" t="s">
        <v>10</v>
      </c>
    </row>
    <row r="3" spans="2:11" x14ac:dyDescent="0.3">
      <c r="G3">
        <v>1</v>
      </c>
      <c r="J3">
        <v>1</v>
      </c>
    </row>
    <row r="4" spans="2:11" x14ac:dyDescent="0.3">
      <c r="B4" s="21" t="s">
        <v>12</v>
      </c>
      <c r="C4" s="21"/>
      <c r="D4" s="4" t="s">
        <v>3</v>
      </c>
      <c r="G4">
        <v>2</v>
      </c>
      <c r="J4">
        <v>1</v>
      </c>
    </row>
    <row r="5" spans="2:11" x14ac:dyDescent="0.3">
      <c r="B5" s="21" t="s">
        <v>5</v>
      </c>
      <c r="C5" s="21"/>
      <c r="D5" s="2">
        <v>0.5</v>
      </c>
      <c r="G5">
        <v>3</v>
      </c>
      <c r="J5">
        <v>1</v>
      </c>
    </row>
    <row r="6" spans="2:11" x14ac:dyDescent="0.3">
      <c r="G6">
        <v>4</v>
      </c>
      <c r="J6">
        <v>1</v>
      </c>
    </row>
    <row r="7" spans="2:11" x14ac:dyDescent="0.3">
      <c r="G7">
        <v>5</v>
      </c>
      <c r="J7">
        <v>1</v>
      </c>
    </row>
    <row r="8" spans="2:11" x14ac:dyDescent="0.3">
      <c r="G8">
        <v>6</v>
      </c>
      <c r="J8">
        <v>1</v>
      </c>
    </row>
    <row r="9" spans="2:11" x14ac:dyDescent="0.3">
      <c r="G9">
        <v>7</v>
      </c>
      <c r="J9">
        <v>1</v>
      </c>
    </row>
    <row r="10" spans="2:11" x14ac:dyDescent="0.3">
      <c r="G10">
        <v>8</v>
      </c>
      <c r="J10">
        <v>1</v>
      </c>
    </row>
    <row r="11" spans="2:11" x14ac:dyDescent="0.3">
      <c r="G11">
        <v>9</v>
      </c>
      <c r="J11">
        <v>1</v>
      </c>
    </row>
    <row r="12" spans="2:11" x14ac:dyDescent="0.3">
      <c r="G12">
        <v>10</v>
      </c>
      <c r="J12">
        <v>1</v>
      </c>
    </row>
    <row r="13" spans="2:11" x14ac:dyDescent="0.3">
      <c r="G13">
        <v>11</v>
      </c>
      <c r="J13">
        <v>1</v>
      </c>
    </row>
    <row r="14" spans="2:11" x14ac:dyDescent="0.3">
      <c r="G14">
        <v>12</v>
      </c>
      <c r="J14">
        <v>1</v>
      </c>
    </row>
    <row r="15" spans="2:11" x14ac:dyDescent="0.3">
      <c r="G15">
        <v>13</v>
      </c>
      <c r="J15">
        <v>1</v>
      </c>
    </row>
    <row r="16" spans="2:11" x14ac:dyDescent="0.3">
      <c r="G16">
        <v>14</v>
      </c>
      <c r="J16">
        <v>1</v>
      </c>
    </row>
    <row r="17" spans="7:10" x14ac:dyDescent="0.3">
      <c r="G17">
        <v>15</v>
      </c>
      <c r="J17">
        <v>1</v>
      </c>
    </row>
    <row r="18" spans="7:10" x14ac:dyDescent="0.3">
      <c r="G18">
        <v>16</v>
      </c>
      <c r="J18">
        <v>1</v>
      </c>
    </row>
  </sheetData>
  <mergeCells count="3">
    <mergeCell ref="B2:D2"/>
    <mergeCell ref="B4:C4"/>
    <mergeCell ref="B5:C5"/>
  </mergeCells>
  <conditionalFormatting sqref="D5">
    <cfRule type="expression" dxfId="11" priority="3">
      <formula>IF($D$4&lt;&gt;"Threshold",TRUE,FALSE)</formula>
    </cfRule>
    <cfRule type="expression" dxfId="10" priority="4">
      <formula>IF($D$4="Threshold",TRUE,FALSE)</formula>
    </cfRule>
  </conditionalFormatting>
  <conditionalFormatting sqref="B5:C5">
    <cfRule type="expression" dxfId="9" priority="1">
      <formula>IF($D$4&lt;&gt;"Threshold",TRUE,FALSE)</formula>
    </cfRule>
    <cfRule type="expression" dxfId="8" priority="2">
      <formula>IF($D$4="Threshold",TRUE,FALSE)</formula>
    </cfRule>
  </conditionalFormatting>
  <dataValidations count="1">
    <dataValidation type="list" allowBlank="1" showInputMessage="1" showErrorMessage="1" sqref="D4" xr:uid="{DC026992-8565-44F2-AD2F-FD1A49BBC9FA}">
      <formula1>"SoP,First Choice,Threshold"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ImportUtils">
                <anchor moveWithCells="1" sizeWithCells="1">
                  <from>
                    <xdr:col>1</xdr:col>
                    <xdr:colOff>99060</xdr:colOff>
                    <xdr:row>6</xdr:row>
                    <xdr:rowOff>30480</xdr:rowOff>
                  </from>
                  <to>
                    <xdr:col>3</xdr:col>
                    <xdr:colOff>678180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8F6A-47C0-4C32-9B0C-C83325A07A4F}">
  <sheetPr codeName="Sheet5"/>
  <dimension ref="A2:Q30"/>
  <sheetViews>
    <sheetView workbookViewId="0">
      <selection activeCell="F9" sqref="F9"/>
    </sheetView>
  </sheetViews>
  <sheetFormatPr defaultRowHeight="14.4" x14ac:dyDescent="0.3"/>
  <cols>
    <col min="1" max="3" width="8.88671875" style="1"/>
    <col min="4" max="4" width="15.21875" style="1" bestFit="1" customWidth="1"/>
    <col min="5" max="5" width="8.88671875" style="1"/>
  </cols>
  <sheetData>
    <row r="2" spans="2:17" x14ac:dyDescent="0.3">
      <c r="B2" s="22" t="s">
        <v>16</v>
      </c>
      <c r="C2" s="22"/>
      <c r="D2" s="22"/>
    </row>
    <row r="3" spans="2:17" x14ac:dyDescent="0.3">
      <c r="G3" t="s">
        <v>6</v>
      </c>
      <c r="H3" t="s">
        <v>7</v>
      </c>
      <c r="I3" t="s">
        <v>8</v>
      </c>
      <c r="J3" t="s">
        <v>9</v>
      </c>
      <c r="K3" t="s">
        <v>13</v>
      </c>
      <c r="L3" t="s">
        <v>14</v>
      </c>
      <c r="M3" t="s">
        <v>15</v>
      </c>
      <c r="N3" t="s">
        <v>10</v>
      </c>
      <c r="Q3" t="s">
        <v>25</v>
      </c>
    </row>
    <row r="4" spans="2:17" x14ac:dyDescent="0.3">
      <c r="B4" s="21" t="s">
        <v>12</v>
      </c>
      <c r="C4" s="21"/>
      <c r="D4" s="4" t="s">
        <v>24</v>
      </c>
      <c r="G4">
        <v>1</v>
      </c>
      <c r="H4" t="s">
        <v>20</v>
      </c>
      <c r="I4" t="s">
        <v>22</v>
      </c>
      <c r="J4">
        <v>0.560336049</v>
      </c>
      <c r="K4">
        <v>1</v>
      </c>
      <c r="L4">
        <v>4050</v>
      </c>
      <c r="M4">
        <v>0.8</v>
      </c>
    </row>
    <row r="5" spans="2:17" x14ac:dyDescent="0.3">
      <c r="B5" s="21" t="s">
        <v>5</v>
      </c>
      <c r="C5" s="21"/>
      <c r="D5" s="2">
        <v>0.5</v>
      </c>
      <c r="G5">
        <v>2</v>
      </c>
      <c r="H5" t="s">
        <v>20</v>
      </c>
      <c r="I5" t="s">
        <v>23</v>
      </c>
      <c r="J5">
        <v>0</v>
      </c>
      <c r="K5">
        <v>2</v>
      </c>
      <c r="L5">
        <v>8050</v>
      </c>
      <c r="M5">
        <v>0.4</v>
      </c>
    </row>
    <row r="6" spans="2:17" x14ac:dyDescent="0.3">
      <c r="B6" s="21" t="s">
        <v>17</v>
      </c>
      <c r="C6" s="21"/>
      <c r="D6" s="4" t="s">
        <v>19</v>
      </c>
      <c r="G6">
        <v>3</v>
      </c>
      <c r="H6" t="s">
        <v>20</v>
      </c>
      <c r="I6" t="s">
        <v>23</v>
      </c>
      <c r="J6">
        <v>0</v>
      </c>
      <c r="K6">
        <v>3</v>
      </c>
      <c r="L6">
        <v>12070</v>
      </c>
      <c r="M6">
        <v>0.4</v>
      </c>
    </row>
    <row r="7" spans="2:17" x14ac:dyDescent="0.3">
      <c r="B7" s="21" t="s">
        <v>18</v>
      </c>
      <c r="C7" s="21"/>
      <c r="D7" s="2">
        <v>100</v>
      </c>
      <c r="G7">
        <v>4</v>
      </c>
      <c r="H7" t="s">
        <v>20</v>
      </c>
      <c r="I7" t="s">
        <v>23</v>
      </c>
      <c r="J7">
        <v>0</v>
      </c>
      <c r="K7">
        <v>1</v>
      </c>
      <c r="L7">
        <v>4650</v>
      </c>
      <c r="M7">
        <v>0.2</v>
      </c>
    </row>
    <row r="8" spans="2:17" x14ac:dyDescent="0.3">
      <c r="G8">
        <v>5</v>
      </c>
      <c r="H8" t="s">
        <v>20</v>
      </c>
      <c r="I8" t="s">
        <v>23</v>
      </c>
      <c r="J8">
        <v>0</v>
      </c>
      <c r="K8">
        <v>2</v>
      </c>
      <c r="L8">
        <v>9050</v>
      </c>
      <c r="M8">
        <v>0.2</v>
      </c>
    </row>
    <row r="9" spans="2:17" x14ac:dyDescent="0.3">
      <c r="G9">
        <v>6</v>
      </c>
      <c r="H9" t="s">
        <v>20</v>
      </c>
      <c r="I9" t="s">
        <v>22</v>
      </c>
      <c r="J9">
        <v>0.51066529900000002</v>
      </c>
      <c r="K9">
        <v>1</v>
      </c>
      <c r="L9">
        <v>2640</v>
      </c>
      <c r="M9">
        <v>0.77</v>
      </c>
    </row>
    <row r="10" spans="2:17" x14ac:dyDescent="0.3">
      <c r="G10">
        <v>7</v>
      </c>
      <c r="H10" t="s">
        <v>20</v>
      </c>
      <c r="I10" t="s">
        <v>23</v>
      </c>
      <c r="J10">
        <v>0</v>
      </c>
      <c r="K10">
        <v>2</v>
      </c>
      <c r="L10">
        <v>5250</v>
      </c>
      <c r="M10">
        <v>0.4</v>
      </c>
    </row>
    <row r="11" spans="2:17" x14ac:dyDescent="0.3">
      <c r="G11">
        <v>8</v>
      </c>
      <c r="H11" t="s">
        <v>20</v>
      </c>
      <c r="I11" t="s">
        <v>22</v>
      </c>
      <c r="J11">
        <v>0.14832851499999999</v>
      </c>
      <c r="K11">
        <v>1</v>
      </c>
      <c r="L11">
        <v>4050</v>
      </c>
      <c r="M11">
        <v>0.37</v>
      </c>
    </row>
    <row r="12" spans="2:17" x14ac:dyDescent="0.3">
      <c r="G12">
        <v>9</v>
      </c>
      <c r="H12" t="s">
        <v>20</v>
      </c>
      <c r="I12" t="s">
        <v>23</v>
      </c>
      <c r="J12">
        <v>0</v>
      </c>
      <c r="K12">
        <v>2</v>
      </c>
      <c r="L12">
        <v>8050</v>
      </c>
      <c r="M12">
        <v>0.2</v>
      </c>
    </row>
    <row r="13" spans="2:17" x14ac:dyDescent="0.3">
      <c r="G13">
        <v>10</v>
      </c>
      <c r="H13" t="s">
        <v>20</v>
      </c>
      <c r="I13" t="s">
        <v>23</v>
      </c>
      <c r="J13">
        <v>0</v>
      </c>
      <c r="K13">
        <v>3</v>
      </c>
      <c r="L13">
        <v>12070</v>
      </c>
      <c r="M13">
        <v>0.2</v>
      </c>
    </row>
    <row r="14" spans="2:17" x14ac:dyDescent="0.3">
      <c r="G14">
        <v>11</v>
      </c>
      <c r="H14" t="s">
        <v>20</v>
      </c>
      <c r="I14" t="s">
        <v>23</v>
      </c>
      <c r="J14">
        <v>0</v>
      </c>
      <c r="K14">
        <v>1</v>
      </c>
      <c r="L14">
        <v>4650</v>
      </c>
      <c r="M14">
        <v>0.2</v>
      </c>
    </row>
    <row r="15" spans="2:17" x14ac:dyDescent="0.3">
      <c r="G15">
        <v>12</v>
      </c>
      <c r="H15" t="s">
        <v>20</v>
      </c>
      <c r="I15" t="s">
        <v>23</v>
      </c>
      <c r="J15">
        <v>0</v>
      </c>
      <c r="K15">
        <v>2</v>
      </c>
      <c r="L15">
        <v>9050</v>
      </c>
      <c r="M15">
        <v>0.2</v>
      </c>
    </row>
    <row r="16" spans="2:17" x14ac:dyDescent="0.3">
      <c r="G16">
        <v>13</v>
      </c>
      <c r="H16" t="s">
        <v>20</v>
      </c>
      <c r="I16" t="s">
        <v>23</v>
      </c>
      <c r="J16">
        <v>0</v>
      </c>
      <c r="K16">
        <v>2</v>
      </c>
      <c r="L16">
        <v>5650</v>
      </c>
      <c r="M16">
        <v>0.2</v>
      </c>
    </row>
    <row r="17" spans="7:13" x14ac:dyDescent="0.3">
      <c r="G17">
        <v>14</v>
      </c>
      <c r="H17" t="s">
        <v>20</v>
      </c>
      <c r="I17" t="s">
        <v>23</v>
      </c>
      <c r="J17">
        <v>0</v>
      </c>
      <c r="K17">
        <v>3</v>
      </c>
      <c r="L17">
        <v>8050</v>
      </c>
      <c r="M17">
        <v>0.2</v>
      </c>
    </row>
    <row r="18" spans="7:13" x14ac:dyDescent="0.3">
      <c r="G18">
        <v>15</v>
      </c>
      <c r="H18" t="s">
        <v>20</v>
      </c>
      <c r="I18" t="s">
        <v>23</v>
      </c>
      <c r="J18">
        <v>0</v>
      </c>
      <c r="K18">
        <v>1</v>
      </c>
      <c r="L18">
        <v>4700</v>
      </c>
      <c r="M18">
        <v>0.2</v>
      </c>
    </row>
    <row r="19" spans="7:13" x14ac:dyDescent="0.3">
      <c r="G19">
        <v>16</v>
      </c>
      <c r="H19" t="s">
        <v>20</v>
      </c>
      <c r="I19" t="s">
        <v>23</v>
      </c>
      <c r="J19">
        <v>0</v>
      </c>
      <c r="K19">
        <v>2</v>
      </c>
      <c r="L19">
        <v>9400</v>
      </c>
      <c r="M19">
        <v>0.2</v>
      </c>
    </row>
    <row r="20" spans="7:13" x14ac:dyDescent="0.3">
      <c r="G20">
        <v>17</v>
      </c>
      <c r="H20" t="s">
        <v>20</v>
      </c>
      <c r="I20" t="s">
        <v>23</v>
      </c>
      <c r="J20">
        <v>0</v>
      </c>
      <c r="K20">
        <v>2</v>
      </c>
      <c r="L20">
        <v>8050</v>
      </c>
      <c r="M20">
        <v>0.2</v>
      </c>
    </row>
    <row r="21" spans="7:13" x14ac:dyDescent="0.3">
      <c r="G21">
        <v>18</v>
      </c>
      <c r="H21" t="s">
        <v>20</v>
      </c>
      <c r="I21" t="s">
        <v>23</v>
      </c>
      <c r="J21">
        <v>0</v>
      </c>
      <c r="K21">
        <v>2</v>
      </c>
      <c r="L21">
        <v>5250</v>
      </c>
      <c r="M21">
        <v>0.2</v>
      </c>
    </row>
    <row r="22" spans="7:13" x14ac:dyDescent="0.3">
      <c r="G22">
        <v>19</v>
      </c>
      <c r="H22" t="s">
        <v>20</v>
      </c>
      <c r="I22" t="s">
        <v>23</v>
      </c>
      <c r="J22">
        <v>0</v>
      </c>
      <c r="K22">
        <v>3</v>
      </c>
      <c r="L22">
        <v>12920</v>
      </c>
      <c r="M22">
        <v>0.2</v>
      </c>
    </row>
    <row r="23" spans="7:13" x14ac:dyDescent="0.3">
      <c r="G23">
        <v>20</v>
      </c>
      <c r="H23" t="s">
        <v>21</v>
      </c>
      <c r="I23" t="s">
        <v>23</v>
      </c>
      <c r="J23">
        <v>0.36098991200000002</v>
      </c>
      <c r="K23">
        <v>1</v>
      </c>
      <c r="L23">
        <v>3750</v>
      </c>
      <c r="M23">
        <v>0.34</v>
      </c>
    </row>
    <row r="24" spans="7:13" x14ac:dyDescent="0.3">
      <c r="G24">
        <v>21</v>
      </c>
      <c r="H24" t="s">
        <v>21</v>
      </c>
      <c r="I24" t="s">
        <v>23</v>
      </c>
      <c r="J24">
        <v>0.226981615</v>
      </c>
      <c r="K24">
        <v>1</v>
      </c>
      <c r="L24">
        <v>2640</v>
      </c>
      <c r="M24">
        <v>0.32</v>
      </c>
    </row>
    <row r="25" spans="7:13" x14ac:dyDescent="0.3">
      <c r="G25">
        <v>22</v>
      </c>
      <c r="H25" t="s">
        <v>21</v>
      </c>
      <c r="I25" t="s">
        <v>23</v>
      </c>
      <c r="J25">
        <v>0.35600882099999998</v>
      </c>
      <c r="K25">
        <v>1</v>
      </c>
      <c r="L25">
        <v>2640</v>
      </c>
      <c r="M25">
        <v>0.64</v>
      </c>
    </row>
    <row r="26" spans="7:13" x14ac:dyDescent="0.3">
      <c r="G26">
        <v>23</v>
      </c>
      <c r="H26" t="s">
        <v>20</v>
      </c>
      <c r="I26" t="s">
        <v>22</v>
      </c>
      <c r="J26">
        <v>1.770563873</v>
      </c>
      <c r="K26">
        <v>1</v>
      </c>
      <c r="L26">
        <v>1890</v>
      </c>
      <c r="M26">
        <v>0.52</v>
      </c>
    </row>
    <row r="27" spans="7:13" x14ac:dyDescent="0.3">
      <c r="G27">
        <v>24</v>
      </c>
      <c r="H27" t="s">
        <v>20</v>
      </c>
      <c r="I27" t="s">
        <v>23</v>
      </c>
      <c r="J27">
        <v>0</v>
      </c>
      <c r="K27">
        <v>2</v>
      </c>
      <c r="L27">
        <v>3770</v>
      </c>
      <c r="M27">
        <v>0.52</v>
      </c>
    </row>
    <row r="28" spans="7:13" x14ac:dyDescent="0.3">
      <c r="G28">
        <v>25</v>
      </c>
      <c r="H28" t="s">
        <v>20</v>
      </c>
      <c r="I28" t="s">
        <v>23</v>
      </c>
      <c r="J28">
        <v>0</v>
      </c>
      <c r="K28">
        <v>4</v>
      </c>
      <c r="L28">
        <v>7500</v>
      </c>
      <c r="M28">
        <v>0.52</v>
      </c>
    </row>
    <row r="29" spans="7:13" x14ac:dyDescent="0.3">
      <c r="G29">
        <v>26</v>
      </c>
      <c r="H29" t="s">
        <v>21</v>
      </c>
      <c r="I29" t="s">
        <v>23</v>
      </c>
      <c r="J29">
        <v>6.9951298399999997</v>
      </c>
      <c r="K29">
        <v>1</v>
      </c>
      <c r="L29">
        <v>800</v>
      </c>
      <c r="M29">
        <v>0.51</v>
      </c>
    </row>
    <row r="30" spans="7:13" x14ac:dyDescent="0.3">
      <c r="G30" t="s">
        <v>4</v>
      </c>
      <c r="J30">
        <v>0.65</v>
      </c>
      <c r="K30">
        <v>1</v>
      </c>
      <c r="L30">
        <v>0</v>
      </c>
      <c r="M30">
        <v>1</v>
      </c>
    </row>
  </sheetData>
  <mergeCells count="5">
    <mergeCell ref="B2:D2"/>
    <mergeCell ref="B4:C4"/>
    <mergeCell ref="B5:C5"/>
    <mergeCell ref="B6:C6"/>
    <mergeCell ref="B7:C7"/>
  </mergeCells>
  <conditionalFormatting sqref="B5:C5">
    <cfRule type="expression" dxfId="7" priority="7">
      <formula>IF($D$4&lt;&gt;"Threshold",TRUE,FALSE)</formula>
    </cfRule>
    <cfRule type="expression" dxfId="6" priority="8">
      <formula>IF($D$4="Threshold",TRUE,FALSE)</formula>
    </cfRule>
  </conditionalFormatting>
  <conditionalFormatting sqref="D5">
    <cfRule type="expression" dxfId="5" priority="5">
      <formula>IF($D$4&lt;&gt;"Threshold",TRUE,FALSE)</formula>
    </cfRule>
    <cfRule type="expression" dxfId="4" priority="6">
      <formula>IF($D$4="Threshold",TRUE,FALSE)</formula>
    </cfRule>
  </conditionalFormatting>
  <conditionalFormatting sqref="D7">
    <cfRule type="expression" dxfId="3" priority="3">
      <formula>IF($D$6="Preference",TRUE,FALSE)</formula>
    </cfRule>
    <cfRule type="expression" dxfId="2" priority="4">
      <formula>IF($D$6&lt;&gt;"Preference",TRUE,FALSE)</formula>
    </cfRule>
  </conditionalFormatting>
  <conditionalFormatting sqref="B7:C7">
    <cfRule type="expression" dxfId="1" priority="1">
      <formula>IF($D$6="Preference",TRUE,FALSE)</formula>
    </cfRule>
    <cfRule type="expression" dxfId="0" priority="2">
      <formula>IF($D$6&lt;&gt;"Preference",TRUE,FALSE)</formula>
    </cfRule>
  </conditionalFormatting>
  <dataValidations count="3">
    <dataValidation type="list" allowBlank="1" showInputMessage="1" showErrorMessage="1" sqref="D4" xr:uid="{6C931F16-3E08-4017-BEEF-BB9138674DEA}">
      <formula1>"SoP,SoP Redistributed,First Choice,Threshold"</formula1>
    </dataValidation>
    <dataValidation type="list" allowBlank="1" showInputMessage="1" showErrorMessage="1" sqref="D6" xr:uid="{6103C253-E9FC-45EB-ABFD-52CE16340720}">
      <formula1>"Preference,Revenue,Value Share,Profit"</formula1>
    </dataValidation>
    <dataValidation type="custom" allowBlank="1" showInputMessage="1" showErrorMessage="1" sqref="D7" xr:uid="{091DA119-99AD-41D7-9884-A008B879279B}">
      <formula1>ISNUMBER(D7)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mportUtils">
                <anchor moveWithCells="1" sizeWithCells="1">
                  <from>
                    <xdr:col>1</xdr:col>
                    <xdr:colOff>228600</xdr:colOff>
                    <xdr:row>8</xdr:row>
                    <xdr:rowOff>0</xdr:rowOff>
                  </from>
                  <to>
                    <xdr:col>3</xdr:col>
                    <xdr:colOff>807720</xdr:colOff>
                    <xdr:row>9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unTURF">
                <anchor moveWithCells="1" sizeWithCells="1">
                  <from>
                    <xdr:col>1</xdr:col>
                    <xdr:colOff>228600</xdr:colOff>
                    <xdr:row>10</xdr:row>
                    <xdr:rowOff>38100</xdr:rowOff>
                  </from>
                  <to>
                    <xdr:col>3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D648D-08C5-4366-A944-0CCDBA7BD2EB}">
  <sheetPr codeName="Sheet3"/>
  <dimension ref="I45:O262"/>
  <sheetViews>
    <sheetView workbookViewId="0">
      <selection sqref="A1:XFD1048576"/>
    </sheetView>
  </sheetViews>
  <sheetFormatPr defaultRowHeight="14.4" x14ac:dyDescent="0.3"/>
  <cols>
    <col min="1" max="1" width="8.88671875" customWidth="1"/>
    <col min="2" max="8" width="9" bestFit="1" customWidth="1"/>
    <col min="9" max="9" width="9.88671875" bestFit="1" customWidth="1"/>
    <col min="10" max="14" width="9" bestFit="1" customWidth="1"/>
    <col min="15" max="15" width="11" bestFit="1" customWidth="1"/>
    <col min="16" max="22" width="9" bestFit="1" customWidth="1"/>
  </cols>
  <sheetData>
    <row r="45" spans="15:15" x14ac:dyDescent="0.3">
      <c r="O45" s="7"/>
    </row>
    <row r="262" spans="9:9" x14ac:dyDescent="0.3">
      <c r="I262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Unspoken</vt:lpstr>
      <vt:lpstr>Output</vt:lpstr>
      <vt:lpstr>Main</vt:lpstr>
      <vt:lpstr>MaxDiff</vt:lpstr>
      <vt:lpstr>CBC</vt:lpstr>
      <vt:lpstr>Utilities</vt:lpstr>
      <vt:lpstr>add_none</vt:lpstr>
      <vt:lpstr>cbc_calc</vt:lpstr>
      <vt:lpstr>cbc_kpi</vt:lpstr>
      <vt:lpstr>inputs</vt:lpstr>
      <vt:lpstr>Unspoken!maxdiff_calc</vt:lpstr>
      <vt:lpstr>maxdiff_calc</vt:lpstr>
      <vt:lpstr>Unspoken!maxdiff_threshold</vt:lpstr>
      <vt:lpstr>maxdiff_threshold</vt:lpstr>
      <vt:lpstr>methodology</vt:lpstr>
      <vt:lpstr>num_prods</vt:lpstr>
      <vt:lpstr>unspoken_calc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Ortega</dc:creator>
  <cp:lastModifiedBy>Jose Ortega</cp:lastModifiedBy>
  <dcterms:created xsi:type="dcterms:W3CDTF">2025-02-28T16:54:46Z</dcterms:created>
  <dcterms:modified xsi:type="dcterms:W3CDTF">2025-03-12T16:55:24Z</dcterms:modified>
</cp:coreProperties>
</file>